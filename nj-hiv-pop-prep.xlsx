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thi/Downloads/"/>
    </mc:Choice>
  </mc:AlternateContent>
  <xr:revisionPtr revIDLastSave="0" documentId="13_ncr:1_{C54A88F7-C871-CE48-88BF-B54AF1CFA43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IV" sheetId="2" r:id="rId1"/>
    <sheet name="Pop" sheetId="3" r:id="rId2"/>
    <sheet name="PrEP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2" l="1"/>
  <c r="A30" i="2"/>
  <c r="A31" i="2"/>
  <c r="A32" i="2"/>
  <c r="A33" i="2"/>
  <c r="A34" i="2"/>
  <c r="A35" i="2"/>
  <c r="A36" i="2"/>
  <c r="A37" i="2"/>
  <c r="A38" i="2"/>
  <c r="A39" i="2"/>
  <c r="A40" i="2"/>
  <c r="A28" i="2"/>
  <c r="A27" i="2"/>
  <c r="A26" i="1"/>
  <c r="A30" i="3"/>
  <c r="A41" i="2"/>
</calcChain>
</file>

<file path=xl/sharedStrings.xml><?xml version="1.0" encoding="utf-8"?>
<sst xmlns="http://schemas.openxmlformats.org/spreadsheetml/2006/main" count="172" uniqueCount="95">
  <si>
    <t/>
  </si>
  <si>
    <t>Year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</si>
  <si>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</si>
  <si>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</si>
  <si>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</si>
  <si>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</si>
  <si>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</si>
  <si>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</si>
  <si>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</si>
  <si>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</si>
  <si>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</si>
  <si>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</si>
  <si>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</si>
  <si>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</si>
  <si>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</si>
  <si>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</si>
  <si>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2022</t>
  </si>
  <si>
    <t>2023</t>
  </si>
  <si>
    <t>Atlantic, NJ (HIV Diagnoses)</t>
  </si>
  <si>
    <t>Bergen, NJ (HIV Diagnoses)</t>
  </si>
  <si>
    <t>Burlington, NJ (HIV Diagnoses)</t>
  </si>
  <si>
    <t>Camden, NJ (HIV Diagnoses)</t>
  </si>
  <si>
    <t>Cape May, NJ (HIV Diagnoses)</t>
  </si>
  <si>
    <t>Cumberland, NJ (HIV Diagnoses)</t>
  </si>
  <si>
    <t>Essex, NJ (HIV Diagnoses)</t>
  </si>
  <si>
    <t>Gloucester, NJ (HIV Diagnoses)</t>
  </si>
  <si>
    <t>Hudson, NJ (HIV Diagnoses)</t>
  </si>
  <si>
    <t>Hunterdon, NJ (HIV Diagnoses)</t>
  </si>
  <si>
    <t>Mercer, NJ (HIV Diagnoses)</t>
  </si>
  <si>
    <t>Middlesex, NJ (HIV Diagnoses)</t>
  </si>
  <si>
    <t>Monmouth, NJ (HIV Diagnoses)</t>
  </si>
  <si>
    <t>Morris, NJ (HIV Diagnoses)</t>
  </si>
  <si>
    <t>Ocean, NJ (HIV Diagnoses)</t>
  </si>
  <si>
    <t>Passaic, NJ (HIV Diagnoses)</t>
  </si>
  <si>
    <t>Salem, NJ (HIV Diagnoses)</t>
  </si>
  <si>
    <t>Somerset, NJ (HIV Diagnoses)</t>
  </si>
  <si>
    <t>Sussex, NJ (HIV Diagnoses)</t>
  </si>
  <si>
    <t>Union, NJ (HIV Diagnoses)</t>
  </si>
  <si>
    <t>Warren, NJ (HIV Diagnoses)</t>
  </si>
  <si>
    <t>Atlantic, NJ (Population)</t>
  </si>
  <si>
    <t>Bergen, NJ (Population)</t>
  </si>
  <si>
    <t>Burlington, NJ (Population)</t>
  </si>
  <si>
    <t>Camden, NJ (Population)</t>
  </si>
  <si>
    <t>Cape May, NJ (Population)</t>
  </si>
  <si>
    <t>Cumberland, NJ (Population)</t>
  </si>
  <si>
    <t>Essex, NJ (Population)</t>
  </si>
  <si>
    <t>Gloucester, NJ (Population)</t>
  </si>
  <si>
    <t>Hudson, NJ (Population)</t>
  </si>
  <si>
    <t>Hunterdon, NJ (Population)</t>
  </si>
  <si>
    <t>Mercer, NJ (Population)</t>
  </si>
  <si>
    <t>Middlesex, NJ (Population)</t>
  </si>
  <si>
    <t>Monmouth, NJ (Population)</t>
  </si>
  <si>
    <t>Morris, NJ (Population)</t>
  </si>
  <si>
    <t>Ocean, NJ (Population)</t>
  </si>
  <si>
    <t>Passaic, NJ (Population)</t>
  </si>
  <si>
    <t>Salem, NJ (Population)</t>
  </si>
  <si>
    <t>Somerset, NJ (Population)</t>
  </si>
  <si>
    <t>Sussex, NJ (Population)</t>
  </si>
  <si>
    <t>Union, NJ (Population)</t>
  </si>
  <si>
    <t>Warren, NJ (Population)</t>
  </si>
  <si>
    <t>Atlantic, NJ (PrEP Users)</t>
  </si>
  <si>
    <t>Bergen, NJ (PrEP Users)</t>
  </si>
  <si>
    <t>Burlington, NJ (PrEP Users)</t>
  </si>
  <si>
    <t>Camden, NJ (PrEP Users)</t>
  </si>
  <si>
    <t>Cape May, NJ (PrEP Users)</t>
  </si>
  <si>
    <t>Cumberland, NJ (PrEP Users)</t>
  </si>
  <si>
    <t>Essex, NJ (PrEP Users)</t>
  </si>
  <si>
    <t>Gloucester, NJ (PrEP Users)</t>
  </si>
  <si>
    <t>Hudson, NJ (PrEP Users)</t>
  </si>
  <si>
    <t>Hunterdon, NJ (PrEP Users)</t>
  </si>
  <si>
    <t>Mercer, NJ (PrEP Users)</t>
  </si>
  <si>
    <t>Middlesex, NJ (PrEP Users)</t>
  </si>
  <si>
    <t>Monmouth, NJ (PrEP Users)</t>
  </si>
  <si>
    <t>Morris, NJ (PrEP Users)</t>
  </si>
  <si>
    <t>Ocean, NJ (PrEP Users)</t>
  </si>
  <si>
    <t>Passaic, NJ (PrEP Users)</t>
  </si>
  <si>
    <t>Salem, NJ (PrEP Users)</t>
  </si>
  <si>
    <t>Somerset, NJ (PrEP Users)</t>
  </si>
  <si>
    <t>Sussex, NJ (PrEP Users)</t>
  </si>
  <si>
    <t>Union, NJ (PrEP Users)</t>
  </si>
  <si>
    <t>Warren, NJ (PrEP Users)</t>
  </si>
  <si>
    <t>DROP TABLE IF EXISTS HIV;</t>
  </si>
  <si>
    <t>DROP TABLE IF EXISTS Pop;</t>
  </si>
  <si>
    <t>DROP TABLE IF EXISTS PrEP;</t>
  </si>
  <si>
    <t>CREATE TABLE HIV (</t>
  </si>
  <si>
    <t xml:space="preserve">    Year INTEGER,</t>
  </si>
  <si>
    <t xml:space="preserve">    County VARCHAR(20),</t>
  </si>
  <si>
    <t xml:space="preserve">    State VARCHAR(2),</t>
  </si>
  <si>
    <t xml:space="preserve">    Diagnoses INTEGER,</t>
  </si>
  <si>
    <t xml:space="preserve">    PRIMARY KEY (Year, County, State)</t>
  </si>
  <si>
    <t>);</t>
  </si>
  <si>
    <t>CREATE TABLE Pop (</t>
  </si>
  <si>
    <t xml:space="preserve">    Population INTEGER,</t>
  </si>
  <si>
    <t>CREATE TABLE PrEP (</t>
  </si>
  <si>
    <t xml:space="preserve">    Users INTEGER,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</si>
</sst>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ABE3-2DA5-9843-84E2-40C1CE90E742}">
  <dimension ref="A1:V41"/>
  <sheetViews>
    <sheetView tabSelected="1" topLeftCell="A11" workbookViewId="0">
      <selection activeCell="B35" sqref="B35"/>
    </sheetView>
  </sheetViews>
  <sheetFormatPr baseColWidth="10" defaultColWidth="8.7109375" defaultRowHeight="19" x14ac:dyDescent="0.25"/>
  <sheetData>
    <row r="1" spans="1:22" x14ac:dyDescent="0.25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</row>
    <row r="2" spans="1:22" x14ac:dyDescent="0.25">
      <c r="A2" t="s">
        <v>15</v>
      </c>
      <c r="B2">
        <v>49</v>
      </c>
      <c r="C2">
        <v>66</v>
      </c>
      <c r="D2">
        <v>40</v>
      </c>
      <c r="E2">
        <v>73</v>
      </c>
      <c r="F2">
        <v>10</v>
      </c>
      <c r="G2">
        <v>39</v>
      </c>
      <c r="H2">
        <v>378</v>
      </c>
      <c r="I2">
        <v>26</v>
      </c>
      <c r="J2">
        <v>178</v>
      </c>
      <c r="K2">
        <v>11</v>
      </c>
      <c r="L2">
        <v>94</v>
      </c>
      <c r="M2">
        <v>73</v>
      </c>
      <c r="N2">
        <v>72</v>
      </c>
      <c r="O2">
        <v>32</v>
      </c>
      <c r="P2">
        <v>24</v>
      </c>
      <c r="Q2">
        <v>89</v>
      </c>
      <c r="R2">
        <v>5</v>
      </c>
      <c r="S2">
        <v>41</v>
      </c>
      <c r="T2" t="s">
        <v>0</v>
      </c>
      <c r="U2">
        <v>97</v>
      </c>
      <c r="V2" t="s">
        <v>0</v>
      </c>
    </row>
    <row r="3" spans="1:22" x14ac:dyDescent="0.25">
      <c r="A3" t="s">
        <v>14</v>
      </c>
      <c r="B3">
        <v>56</v>
      </c>
      <c r="C3">
        <v>64</v>
      </c>
      <c r="D3">
        <v>36</v>
      </c>
      <c r="E3">
        <v>71</v>
      </c>
      <c r="F3">
        <v>10</v>
      </c>
      <c r="G3">
        <v>34</v>
      </c>
      <c r="H3">
        <v>396</v>
      </c>
      <c r="I3">
        <v>10</v>
      </c>
      <c r="J3">
        <v>186</v>
      </c>
      <c r="K3">
        <v>7</v>
      </c>
      <c r="L3">
        <v>73</v>
      </c>
      <c r="M3">
        <v>62</v>
      </c>
      <c r="N3">
        <v>83</v>
      </c>
      <c r="O3">
        <v>32</v>
      </c>
      <c r="P3">
        <v>23</v>
      </c>
      <c r="Q3">
        <v>100</v>
      </c>
      <c r="R3" t="s">
        <v>0</v>
      </c>
      <c r="S3">
        <v>30</v>
      </c>
      <c r="T3">
        <v>6</v>
      </c>
      <c r="U3">
        <v>88</v>
      </c>
      <c r="V3" t="s">
        <v>0</v>
      </c>
    </row>
    <row r="4" spans="1:22" x14ac:dyDescent="0.25">
      <c r="A4" t="s">
        <v>13</v>
      </c>
      <c r="B4">
        <v>39</v>
      </c>
      <c r="C4">
        <v>53</v>
      </c>
      <c r="D4">
        <v>34</v>
      </c>
      <c r="E4">
        <v>67</v>
      </c>
      <c r="F4">
        <v>8</v>
      </c>
      <c r="G4">
        <v>25</v>
      </c>
      <c r="H4">
        <v>361</v>
      </c>
      <c r="I4">
        <v>16</v>
      </c>
      <c r="J4">
        <v>214</v>
      </c>
      <c r="K4">
        <v>7</v>
      </c>
      <c r="L4">
        <v>92</v>
      </c>
      <c r="M4">
        <v>81</v>
      </c>
      <c r="N4">
        <v>51</v>
      </c>
      <c r="O4">
        <v>39</v>
      </c>
      <c r="P4">
        <v>20</v>
      </c>
      <c r="Q4">
        <v>92</v>
      </c>
      <c r="R4" t="s">
        <v>0</v>
      </c>
      <c r="S4">
        <v>32</v>
      </c>
      <c r="T4">
        <v>7</v>
      </c>
      <c r="U4">
        <v>92</v>
      </c>
      <c r="V4" t="s">
        <v>0</v>
      </c>
    </row>
    <row r="5" spans="1:22" x14ac:dyDescent="0.25">
      <c r="A5" t="s">
        <v>12</v>
      </c>
      <c r="B5">
        <v>38</v>
      </c>
      <c r="C5">
        <v>57</v>
      </c>
      <c r="D5">
        <v>46</v>
      </c>
      <c r="E5">
        <v>74</v>
      </c>
      <c r="F5" t="s">
        <v>0</v>
      </c>
      <c r="G5">
        <v>21</v>
      </c>
      <c r="H5">
        <v>315</v>
      </c>
      <c r="I5">
        <v>15</v>
      </c>
      <c r="J5">
        <v>170</v>
      </c>
      <c r="K5">
        <v>6</v>
      </c>
      <c r="L5">
        <v>64</v>
      </c>
      <c r="M5">
        <v>56</v>
      </c>
      <c r="N5">
        <v>56</v>
      </c>
      <c r="O5">
        <v>34</v>
      </c>
      <c r="P5">
        <v>11</v>
      </c>
      <c r="Q5">
        <v>85</v>
      </c>
      <c r="R5" t="s">
        <v>0</v>
      </c>
      <c r="S5">
        <v>27</v>
      </c>
      <c r="T5" t="s">
        <v>0</v>
      </c>
      <c r="U5">
        <v>81</v>
      </c>
      <c r="V5" t="s">
        <v>0</v>
      </c>
    </row>
    <row r="6" spans="1:22" x14ac:dyDescent="0.25">
      <c r="A6" t="s">
        <v>11</v>
      </c>
      <c r="B6">
        <v>55</v>
      </c>
      <c r="C6">
        <v>64</v>
      </c>
      <c r="D6">
        <v>45</v>
      </c>
      <c r="E6">
        <v>67</v>
      </c>
      <c r="F6">
        <v>9</v>
      </c>
      <c r="G6">
        <v>23</v>
      </c>
      <c r="H6">
        <v>343</v>
      </c>
      <c r="I6">
        <v>13</v>
      </c>
      <c r="J6">
        <v>198</v>
      </c>
      <c r="K6">
        <v>10</v>
      </c>
      <c r="L6">
        <v>51</v>
      </c>
      <c r="M6">
        <v>76</v>
      </c>
      <c r="N6">
        <v>63</v>
      </c>
      <c r="O6">
        <v>30</v>
      </c>
      <c r="P6">
        <v>30</v>
      </c>
      <c r="Q6">
        <v>83</v>
      </c>
      <c r="R6" t="s">
        <v>0</v>
      </c>
      <c r="S6">
        <v>28</v>
      </c>
      <c r="T6">
        <v>5</v>
      </c>
      <c r="U6">
        <v>71</v>
      </c>
      <c r="V6" t="s">
        <v>0</v>
      </c>
    </row>
    <row r="7" spans="1:22" x14ac:dyDescent="0.25">
      <c r="A7" t="s">
        <v>10</v>
      </c>
      <c r="B7">
        <v>42</v>
      </c>
      <c r="C7">
        <v>67</v>
      </c>
      <c r="D7">
        <v>29</v>
      </c>
      <c r="E7">
        <v>73</v>
      </c>
      <c r="F7" t="s">
        <v>0</v>
      </c>
      <c r="G7">
        <v>17</v>
      </c>
      <c r="H7">
        <v>290</v>
      </c>
      <c r="I7">
        <v>14</v>
      </c>
      <c r="J7">
        <v>179</v>
      </c>
      <c r="K7">
        <v>7</v>
      </c>
      <c r="L7">
        <v>61</v>
      </c>
      <c r="M7">
        <v>62</v>
      </c>
      <c r="N7">
        <v>66</v>
      </c>
      <c r="O7">
        <v>29</v>
      </c>
      <c r="P7">
        <v>27</v>
      </c>
      <c r="Q7">
        <v>78</v>
      </c>
      <c r="R7">
        <v>10</v>
      </c>
      <c r="S7">
        <v>33</v>
      </c>
      <c r="T7">
        <v>6</v>
      </c>
      <c r="U7">
        <v>94</v>
      </c>
      <c r="V7" t="s">
        <v>0</v>
      </c>
    </row>
    <row r="8" spans="1:22" x14ac:dyDescent="0.25">
      <c r="A8" t="s">
        <v>9</v>
      </c>
      <c r="B8">
        <v>33</v>
      </c>
      <c r="C8">
        <v>67</v>
      </c>
      <c r="D8">
        <v>41</v>
      </c>
      <c r="E8">
        <v>74</v>
      </c>
      <c r="F8" t="s">
        <v>0</v>
      </c>
      <c r="G8">
        <v>18</v>
      </c>
      <c r="H8">
        <v>313</v>
      </c>
      <c r="I8">
        <v>14</v>
      </c>
      <c r="J8">
        <v>189</v>
      </c>
      <c r="K8">
        <v>14</v>
      </c>
      <c r="L8">
        <v>65</v>
      </c>
      <c r="M8">
        <v>65</v>
      </c>
      <c r="N8">
        <v>43</v>
      </c>
      <c r="O8">
        <v>22</v>
      </c>
      <c r="P8">
        <v>29</v>
      </c>
      <c r="Q8">
        <v>98</v>
      </c>
      <c r="R8" t="s">
        <v>0</v>
      </c>
      <c r="S8">
        <v>38</v>
      </c>
      <c r="T8">
        <v>5</v>
      </c>
      <c r="U8">
        <v>91</v>
      </c>
      <c r="V8" t="s">
        <v>0</v>
      </c>
    </row>
    <row r="9" spans="1:22" x14ac:dyDescent="0.25">
      <c r="A9" t="s">
        <v>8</v>
      </c>
      <c r="B9">
        <v>50</v>
      </c>
      <c r="C9">
        <v>69</v>
      </c>
      <c r="D9">
        <v>45</v>
      </c>
      <c r="E9">
        <v>70</v>
      </c>
      <c r="F9">
        <v>6</v>
      </c>
      <c r="G9">
        <v>19</v>
      </c>
      <c r="H9">
        <v>320</v>
      </c>
      <c r="I9">
        <v>9</v>
      </c>
      <c r="J9">
        <v>168</v>
      </c>
      <c r="K9">
        <v>7</v>
      </c>
      <c r="L9">
        <v>59</v>
      </c>
      <c r="M9">
        <v>84</v>
      </c>
      <c r="N9">
        <v>32</v>
      </c>
      <c r="O9">
        <v>25</v>
      </c>
      <c r="P9">
        <v>21</v>
      </c>
      <c r="Q9">
        <v>74</v>
      </c>
      <c r="R9" t="s">
        <v>0</v>
      </c>
      <c r="S9">
        <v>34</v>
      </c>
      <c r="T9" t="s">
        <v>0</v>
      </c>
      <c r="U9">
        <v>68</v>
      </c>
      <c r="V9">
        <v>6</v>
      </c>
    </row>
    <row r="10" spans="1:22" x14ac:dyDescent="0.25">
      <c r="A10" t="s">
        <v>7</v>
      </c>
      <c r="B10">
        <v>45</v>
      </c>
      <c r="C10">
        <v>69</v>
      </c>
      <c r="D10">
        <v>29</v>
      </c>
      <c r="E10">
        <v>61</v>
      </c>
      <c r="F10" t="s">
        <v>0</v>
      </c>
      <c r="G10">
        <v>20</v>
      </c>
      <c r="H10">
        <v>306</v>
      </c>
      <c r="I10">
        <v>17</v>
      </c>
      <c r="J10">
        <v>171</v>
      </c>
      <c r="K10">
        <v>9</v>
      </c>
      <c r="L10">
        <v>57</v>
      </c>
      <c r="M10">
        <v>82</v>
      </c>
      <c r="N10">
        <v>54</v>
      </c>
      <c r="O10">
        <v>34</v>
      </c>
      <c r="P10">
        <v>17</v>
      </c>
      <c r="Q10">
        <v>82</v>
      </c>
      <c r="R10" t="s">
        <v>0</v>
      </c>
      <c r="S10">
        <v>33</v>
      </c>
      <c r="T10">
        <v>5</v>
      </c>
      <c r="U10">
        <v>67</v>
      </c>
      <c r="V10" t="s">
        <v>0</v>
      </c>
    </row>
    <row r="11" spans="1:22" x14ac:dyDescent="0.25">
      <c r="A11" t="s">
        <v>6</v>
      </c>
      <c r="B11">
        <v>31</v>
      </c>
      <c r="C11">
        <v>47</v>
      </c>
      <c r="D11">
        <v>37</v>
      </c>
      <c r="E11">
        <v>63</v>
      </c>
      <c r="F11" t="s">
        <v>0</v>
      </c>
      <c r="G11">
        <v>29</v>
      </c>
      <c r="H11">
        <v>309</v>
      </c>
      <c r="I11">
        <v>15</v>
      </c>
      <c r="J11">
        <v>160</v>
      </c>
      <c r="K11" t="s">
        <v>0</v>
      </c>
      <c r="L11">
        <v>47</v>
      </c>
      <c r="M11">
        <v>86</v>
      </c>
      <c r="N11">
        <v>43</v>
      </c>
      <c r="O11">
        <v>30</v>
      </c>
      <c r="P11">
        <v>24</v>
      </c>
      <c r="Q11">
        <v>54</v>
      </c>
      <c r="R11">
        <v>0</v>
      </c>
      <c r="S11">
        <v>24</v>
      </c>
      <c r="T11">
        <v>6</v>
      </c>
      <c r="U11">
        <v>90</v>
      </c>
      <c r="V11" t="s">
        <v>0</v>
      </c>
    </row>
    <row r="12" spans="1:22" x14ac:dyDescent="0.25">
      <c r="A12" t="s">
        <v>5</v>
      </c>
      <c r="B12">
        <v>33</v>
      </c>
      <c r="C12">
        <v>56</v>
      </c>
      <c r="D12">
        <v>35</v>
      </c>
      <c r="E12">
        <v>49</v>
      </c>
      <c r="F12" t="s">
        <v>0</v>
      </c>
      <c r="G12">
        <v>16</v>
      </c>
      <c r="H12">
        <v>259</v>
      </c>
      <c r="I12">
        <v>16</v>
      </c>
      <c r="J12">
        <v>164</v>
      </c>
      <c r="K12" t="s">
        <v>0</v>
      </c>
      <c r="L12">
        <v>40</v>
      </c>
      <c r="M12">
        <v>78</v>
      </c>
      <c r="N12">
        <v>24</v>
      </c>
      <c r="O12">
        <v>27</v>
      </c>
      <c r="P12">
        <v>18</v>
      </c>
      <c r="Q12">
        <v>77</v>
      </c>
      <c r="R12" t="s">
        <v>0</v>
      </c>
      <c r="S12">
        <v>30</v>
      </c>
      <c r="T12">
        <v>7</v>
      </c>
      <c r="U12">
        <v>70</v>
      </c>
      <c r="V12" t="s">
        <v>0</v>
      </c>
    </row>
    <row r="13" spans="1:22" x14ac:dyDescent="0.25">
      <c r="A13" t="s">
        <v>4</v>
      </c>
      <c r="B13">
        <v>34</v>
      </c>
      <c r="C13">
        <v>61</v>
      </c>
      <c r="D13">
        <v>37</v>
      </c>
      <c r="E13">
        <v>64</v>
      </c>
      <c r="F13" t="s">
        <v>0</v>
      </c>
      <c r="G13">
        <v>19</v>
      </c>
      <c r="H13">
        <v>229</v>
      </c>
      <c r="I13">
        <v>14</v>
      </c>
      <c r="J13">
        <v>147</v>
      </c>
      <c r="K13">
        <v>7</v>
      </c>
      <c r="L13">
        <v>55</v>
      </c>
      <c r="M13">
        <v>72</v>
      </c>
      <c r="N13">
        <v>62</v>
      </c>
      <c r="O13">
        <v>22</v>
      </c>
      <c r="P13">
        <v>31</v>
      </c>
      <c r="Q13">
        <v>87</v>
      </c>
      <c r="R13">
        <v>5</v>
      </c>
      <c r="S13">
        <v>26</v>
      </c>
      <c r="T13" t="s">
        <v>0</v>
      </c>
      <c r="U13">
        <v>92</v>
      </c>
      <c r="V13" t="s">
        <v>0</v>
      </c>
    </row>
    <row r="14" spans="1:22" x14ac:dyDescent="0.25">
      <c r="A14" t="s">
        <v>3</v>
      </c>
      <c r="B14">
        <v>11</v>
      </c>
      <c r="C14">
        <v>46</v>
      </c>
      <c r="D14">
        <v>38</v>
      </c>
      <c r="E14">
        <v>58</v>
      </c>
      <c r="F14" t="s">
        <v>0</v>
      </c>
      <c r="G14">
        <v>11</v>
      </c>
      <c r="H14">
        <v>200</v>
      </c>
      <c r="I14">
        <v>8</v>
      </c>
      <c r="J14">
        <v>127</v>
      </c>
      <c r="K14" t="s">
        <v>0</v>
      </c>
      <c r="L14">
        <v>48</v>
      </c>
      <c r="M14">
        <v>52</v>
      </c>
      <c r="N14">
        <v>22</v>
      </c>
      <c r="O14">
        <v>15</v>
      </c>
      <c r="P14">
        <v>10</v>
      </c>
      <c r="Q14">
        <v>49</v>
      </c>
      <c r="R14">
        <v>6</v>
      </c>
      <c r="S14">
        <v>10</v>
      </c>
      <c r="T14">
        <v>5</v>
      </c>
      <c r="U14">
        <v>71</v>
      </c>
      <c r="V14" t="s">
        <v>0</v>
      </c>
    </row>
    <row r="15" spans="1:22" x14ac:dyDescent="0.25">
      <c r="A15" t="s">
        <v>2</v>
      </c>
      <c r="B15">
        <v>31</v>
      </c>
      <c r="C15">
        <v>60</v>
      </c>
      <c r="D15">
        <v>50</v>
      </c>
      <c r="E15">
        <v>90</v>
      </c>
      <c r="F15" t="s">
        <v>0</v>
      </c>
      <c r="G15">
        <v>19</v>
      </c>
      <c r="H15">
        <v>266</v>
      </c>
      <c r="I15">
        <v>20</v>
      </c>
      <c r="J15">
        <v>149</v>
      </c>
      <c r="K15">
        <v>8</v>
      </c>
      <c r="L15">
        <v>54</v>
      </c>
      <c r="M15">
        <v>81</v>
      </c>
      <c r="N15">
        <v>44</v>
      </c>
      <c r="O15">
        <v>31</v>
      </c>
      <c r="P15">
        <v>24</v>
      </c>
      <c r="Q15">
        <v>77</v>
      </c>
      <c r="R15" t="s">
        <v>0</v>
      </c>
      <c r="S15">
        <v>25</v>
      </c>
      <c r="T15" t="s">
        <v>0</v>
      </c>
      <c r="U15">
        <v>96</v>
      </c>
      <c r="V15" t="s">
        <v>0</v>
      </c>
    </row>
    <row r="16" spans="1:22" x14ac:dyDescent="0.25">
      <c r="A16" t="s">
        <v>16</v>
      </c>
      <c r="B16">
        <v>30</v>
      </c>
      <c r="C16">
        <v>76</v>
      </c>
      <c r="D16">
        <v>42</v>
      </c>
      <c r="E16">
        <v>80</v>
      </c>
      <c r="F16">
        <v>8</v>
      </c>
      <c r="G16">
        <v>27</v>
      </c>
      <c r="H16">
        <v>229</v>
      </c>
      <c r="I16">
        <v>13</v>
      </c>
      <c r="J16">
        <v>165</v>
      </c>
      <c r="L16">
        <v>63</v>
      </c>
      <c r="M16">
        <v>75</v>
      </c>
      <c r="N16">
        <v>38</v>
      </c>
      <c r="O16">
        <v>14</v>
      </c>
      <c r="P16">
        <v>23</v>
      </c>
      <c r="Q16">
        <v>62</v>
      </c>
      <c r="R16">
        <v>6</v>
      </c>
      <c r="S16">
        <v>24</v>
      </c>
      <c r="T16">
        <v>10</v>
      </c>
      <c r="U16">
        <v>99</v>
      </c>
    </row>
    <row r="18" spans="1:1" x14ac:dyDescent="0.25">
      <c r="A18" t="s">
        <v>81</v>
      </c>
    </row>
    <row r="19" spans="1:1" x14ac:dyDescent="0.25">
      <c r="A19" t="s">
        <v>84</v>
      </c>
    </row>
    <row r="20" spans="1:1" x14ac:dyDescent="0.25">
      <c r="A20" t="s">
        <v>85</v>
      </c>
    </row>
    <row r="21" spans="1:1" x14ac:dyDescent="0.25">
      <c r="A21" t="s">
        <v>86</v>
      </c>
    </row>
    <row r="22" spans="1:1" x14ac:dyDescent="0.25">
      <c r="A22" t="s">
        <v>87</v>
      </c>
    </row>
    <row r="23" spans="1:1" x14ac:dyDescent="0.25">
      <c r="A23" t="s">
        <v>88</v>
      </c>
    </row>
    <row r="24" spans="1:1" x14ac:dyDescent="0.25">
      <c r="A24" t="s">
        <v>89</v>
      </c>
    </row>
    <row r="25" spans="1:1" x14ac:dyDescent="0.25">
      <c r="A25" t="s">
        <v>90</v>
      </c>
    </row>
    <row r="26" spans="1:1" x14ac:dyDescent="0.25">
      <c r="A26" s="1"/>
    </row>
    <row r="27" spans="1:1" x14ac:dyDescent="0.25">
      <c r="A27" t="str">
        <f xml:space="preserve"> "INSERT INTO HIV VALUES (" &amp; A2 &amp; ", '" &amp; B2 &amp; "', '" &amp; C2 &amp; "', " &amp; IF(ISBLANK(D2), "NULL", D2) &amp; ")" &amp; IF(A3="", ";", ",")</f>
        <v>INSERT INTO HIV VALUES (2008, '49', '66', 40),</v>
      </c>
    </row>
    <row r="28" spans="1:1" x14ac:dyDescent="0.25">
      <c r="A28" t="str">
        <f xml:space="preserve"> "(" &amp; A2 &amp; ",'" &amp; B2 &amp; "','" &amp; C2 &amp; "'," &amp; IF(D2="", "NULL", D2) &amp; ")"</f>
        <v>(2008,'49','66',40)</v>
      </c>
    </row>
    <row r="29" spans="1:1" x14ac:dyDescent="0.25">
      <c r="A29" t="str">
        <f t="shared" ref="A29:A40" si="0" xml:space="preserve"> "(" &amp; A3 &amp; ",'" &amp; B3 &amp; "','" &amp; C3 &amp; "'," &amp; IF(D3="", "NULL", D3) &amp; ")"</f>
        <v>(2009,'56','64',36)</v>
      </c>
    </row>
    <row r="30" spans="1:1" x14ac:dyDescent="0.25">
      <c r="A30" t="str">
        <f t="shared" si="0"/>
        <v>(2010,'39','53',34)</v>
      </c>
    </row>
    <row r="31" spans="1:1" x14ac:dyDescent="0.25">
      <c r="A31" t="str">
        <f t="shared" si="0"/>
        <v>(2011,'38','57',46)</v>
      </c>
    </row>
    <row r="32" spans="1:1" x14ac:dyDescent="0.25">
      <c r="A32" t="str">
        <f t="shared" si="0"/>
        <v>(2012,'55','64',45)</v>
      </c>
    </row>
    <row r="33" spans="1:1" x14ac:dyDescent="0.25">
      <c r="A33" t="str">
        <f t="shared" si="0"/>
        <v>(2013,'42','67',29)</v>
      </c>
    </row>
    <row r="34" spans="1:1" x14ac:dyDescent="0.25">
      <c r="A34" t="str">
        <f t="shared" si="0"/>
        <v>(2014,'33','67',41)</v>
      </c>
    </row>
    <row r="35" spans="1:1" x14ac:dyDescent="0.25">
      <c r="A35" t="str">
        <f t="shared" si="0"/>
        <v>(2015,'50','69',45)</v>
      </c>
    </row>
    <row r="36" spans="1:1" x14ac:dyDescent="0.25">
      <c r="A36" t="str">
        <f t="shared" si="0"/>
        <v>(2016,'45','69',29)</v>
      </c>
    </row>
    <row r="37" spans="1:1" x14ac:dyDescent="0.25">
      <c r="A37" t="str">
        <f t="shared" si="0"/>
        <v>(2017,'31','47',37)</v>
      </c>
    </row>
    <row r="38" spans="1:1" x14ac:dyDescent="0.25">
      <c r="A38" t="str">
        <f t="shared" si="0"/>
        <v>(2018,'33','56',35)</v>
      </c>
    </row>
    <row r="39" spans="1:1" x14ac:dyDescent="0.25">
      <c r="A39" t="str">
        <f t="shared" si="0"/>
        <v>(2019,'34','61',37)</v>
      </c>
    </row>
    <row r="40" spans="1:1" x14ac:dyDescent="0.25">
      <c r="A40" t="str">
        <f t="shared" si="0"/>
        <v>(2020,'11','46',38)</v>
      </c>
    </row>
    <row r="41" spans="1:1" x14ac:dyDescent="0.25">
      <c r="A41" t="str">
        <f xml:space="preserve"> "INSERT INTO HIV VALUES (" &amp; A2 &amp; ", '" &amp; B2 &amp; "', '" &amp; C2 &amp; "', " &amp; IF(ISBLANK(D2), "NULL", D2) &amp; ")" &amp; IF(A3="", ";", ",")</f>
        <v>INSERT INTO HIV VALUES (2008, '49', '66', 40),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C261-B924-834D-8AE3-A7A24ACBD9B4}">
  <dimension ref="A1:V30"/>
  <sheetViews>
    <sheetView topLeftCell="A5" workbookViewId="0">
      <selection activeCell="A30" sqref="A30:A31"/>
    </sheetView>
  </sheetViews>
  <sheetFormatPr baseColWidth="10" defaultColWidth="8.7109375" defaultRowHeight="19" x14ac:dyDescent="0.25"/>
  <sheetData>
    <row r="1" spans="1:22" x14ac:dyDescent="0.25">
      <c r="A1" t="s">
        <v>1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</row>
    <row r="2" spans="1:22" x14ac:dyDescent="0.25">
      <c r="A2" t="s">
        <v>15</v>
      </c>
      <c r="B2">
        <v>270609</v>
      </c>
      <c r="C2">
        <v>889915</v>
      </c>
      <c r="D2">
        <v>445492</v>
      </c>
      <c r="E2">
        <v>517739</v>
      </c>
      <c r="F2">
        <v>96470</v>
      </c>
      <c r="G2">
        <v>156784</v>
      </c>
      <c r="H2">
        <v>767075</v>
      </c>
      <c r="I2">
        <v>288168</v>
      </c>
      <c r="J2">
        <v>592111</v>
      </c>
      <c r="K2">
        <v>129806</v>
      </c>
      <c r="L2">
        <v>364571</v>
      </c>
      <c r="M2">
        <v>785324</v>
      </c>
      <c r="N2">
        <v>641864</v>
      </c>
      <c r="O2">
        <v>486946</v>
      </c>
      <c r="P2">
        <v>569662</v>
      </c>
      <c r="Q2">
        <v>488364</v>
      </c>
      <c r="R2">
        <v>66194</v>
      </c>
      <c r="S2">
        <v>323160</v>
      </c>
      <c r="T2">
        <v>151431</v>
      </c>
      <c r="U2">
        <v>521816</v>
      </c>
      <c r="V2">
        <v>109897</v>
      </c>
    </row>
    <row r="3" spans="1:22" x14ac:dyDescent="0.25">
      <c r="A3" t="s">
        <v>14</v>
      </c>
      <c r="B3">
        <v>271712</v>
      </c>
      <c r="C3">
        <v>895250</v>
      </c>
      <c r="D3">
        <v>446108</v>
      </c>
      <c r="E3">
        <v>517879</v>
      </c>
      <c r="F3">
        <v>96091</v>
      </c>
      <c r="G3">
        <v>157745</v>
      </c>
      <c r="H3">
        <v>769644</v>
      </c>
      <c r="I3">
        <v>289920</v>
      </c>
      <c r="J3">
        <v>597924</v>
      </c>
      <c r="K3">
        <v>130034</v>
      </c>
      <c r="L3">
        <v>366222</v>
      </c>
      <c r="M3">
        <v>790738</v>
      </c>
      <c r="N3">
        <v>644105</v>
      </c>
      <c r="O3">
        <v>488518</v>
      </c>
      <c r="P3">
        <v>573678</v>
      </c>
      <c r="Q3">
        <v>491778</v>
      </c>
      <c r="R3">
        <v>66342</v>
      </c>
      <c r="S3">
        <v>326869</v>
      </c>
      <c r="T3">
        <v>151118</v>
      </c>
      <c r="U3">
        <v>526426</v>
      </c>
      <c r="V3">
        <v>109638</v>
      </c>
    </row>
    <row r="4" spans="1:22" x14ac:dyDescent="0.25">
      <c r="A4" t="s">
        <v>13</v>
      </c>
      <c r="B4">
        <v>274966</v>
      </c>
      <c r="C4">
        <v>953819</v>
      </c>
      <c r="D4">
        <v>464269</v>
      </c>
      <c r="E4">
        <v>523771</v>
      </c>
      <c r="F4">
        <v>95661</v>
      </c>
      <c r="G4">
        <v>153627</v>
      </c>
      <c r="H4">
        <v>854917</v>
      </c>
      <c r="I4">
        <v>304477</v>
      </c>
      <c r="J4">
        <v>702463</v>
      </c>
      <c r="K4">
        <v>129924</v>
      </c>
      <c r="L4">
        <v>385898</v>
      </c>
      <c r="M4">
        <v>860807</v>
      </c>
      <c r="N4">
        <v>645354</v>
      </c>
      <c r="O4">
        <v>510981</v>
      </c>
      <c r="P4">
        <v>648998</v>
      </c>
      <c r="Q4">
        <v>518117</v>
      </c>
      <c r="R4">
        <v>65046</v>
      </c>
      <c r="S4">
        <v>345647</v>
      </c>
      <c r="T4">
        <v>145543</v>
      </c>
      <c r="U4">
        <v>572114</v>
      </c>
      <c r="V4">
        <v>110731</v>
      </c>
    </row>
    <row r="5" spans="1:22" x14ac:dyDescent="0.25">
      <c r="A5" t="s">
        <v>12</v>
      </c>
      <c r="B5">
        <v>274635</v>
      </c>
      <c r="C5">
        <v>912024</v>
      </c>
      <c r="D5">
        <v>450250</v>
      </c>
      <c r="E5">
        <v>512610</v>
      </c>
      <c r="F5">
        <v>96522</v>
      </c>
      <c r="G5">
        <v>157028</v>
      </c>
      <c r="H5">
        <v>785576</v>
      </c>
      <c r="I5">
        <v>289703</v>
      </c>
      <c r="J5">
        <v>645658</v>
      </c>
      <c r="K5">
        <v>127348</v>
      </c>
      <c r="L5">
        <v>367407</v>
      </c>
      <c r="M5">
        <v>815253</v>
      </c>
      <c r="N5">
        <v>629144</v>
      </c>
      <c r="O5">
        <v>494801</v>
      </c>
      <c r="P5">
        <v>578922</v>
      </c>
      <c r="Q5">
        <v>503257</v>
      </c>
      <c r="R5">
        <v>65880</v>
      </c>
      <c r="S5">
        <v>326277</v>
      </c>
      <c r="T5">
        <v>148185</v>
      </c>
      <c r="U5">
        <v>539918</v>
      </c>
      <c r="V5">
        <v>108154</v>
      </c>
    </row>
    <row r="6" spans="1:22" x14ac:dyDescent="0.25">
      <c r="A6" t="s">
        <v>11</v>
      </c>
      <c r="B6">
        <v>274657</v>
      </c>
      <c r="C6">
        <v>916299</v>
      </c>
      <c r="D6">
        <v>450667</v>
      </c>
      <c r="E6">
        <v>511636</v>
      </c>
      <c r="F6">
        <v>96267</v>
      </c>
      <c r="G6">
        <v>156862</v>
      </c>
      <c r="H6">
        <v>785092</v>
      </c>
      <c r="I6">
        <v>289839</v>
      </c>
      <c r="J6">
        <v>652373</v>
      </c>
      <c r="K6">
        <v>126658</v>
      </c>
      <c r="L6">
        <v>368628</v>
      </c>
      <c r="M6">
        <v>819389</v>
      </c>
      <c r="N6">
        <v>627682</v>
      </c>
      <c r="O6">
        <v>495623</v>
      </c>
      <c r="P6">
        <v>580013</v>
      </c>
      <c r="Q6">
        <v>503531</v>
      </c>
      <c r="R6">
        <v>65427</v>
      </c>
      <c r="S6">
        <v>327462</v>
      </c>
      <c r="T6">
        <v>147003</v>
      </c>
      <c r="U6">
        <v>542977</v>
      </c>
      <c r="V6">
        <v>107586</v>
      </c>
    </row>
    <row r="7" spans="1:22" x14ac:dyDescent="0.25">
      <c r="A7" t="s">
        <v>10</v>
      </c>
      <c r="B7">
        <v>274360</v>
      </c>
      <c r="C7">
        <v>920021</v>
      </c>
      <c r="D7">
        <v>448992</v>
      </c>
      <c r="E7">
        <v>509983</v>
      </c>
      <c r="F7">
        <v>95540</v>
      </c>
      <c r="G7">
        <v>155912</v>
      </c>
      <c r="H7">
        <v>786685</v>
      </c>
      <c r="I7">
        <v>289935</v>
      </c>
      <c r="J7">
        <v>657101</v>
      </c>
      <c r="K7">
        <v>126443</v>
      </c>
      <c r="L7">
        <v>369534</v>
      </c>
      <c r="M7">
        <v>821811</v>
      </c>
      <c r="N7">
        <v>626964</v>
      </c>
      <c r="O7">
        <v>496050</v>
      </c>
      <c r="P7">
        <v>582166</v>
      </c>
      <c r="Q7">
        <v>503815</v>
      </c>
      <c r="R7">
        <v>64801</v>
      </c>
      <c r="S7">
        <v>329052</v>
      </c>
      <c r="T7">
        <v>145672</v>
      </c>
      <c r="U7">
        <v>546051</v>
      </c>
      <c r="V7">
        <v>106933</v>
      </c>
    </row>
    <row r="8" spans="1:22" x14ac:dyDescent="0.25">
      <c r="A8" t="s">
        <v>9</v>
      </c>
      <c r="B8">
        <v>272634</v>
      </c>
      <c r="C8">
        <v>923475</v>
      </c>
      <c r="D8">
        <v>449806</v>
      </c>
      <c r="E8">
        <v>508409</v>
      </c>
      <c r="F8">
        <v>94961</v>
      </c>
      <c r="G8">
        <v>155887</v>
      </c>
      <c r="H8">
        <v>788796</v>
      </c>
      <c r="I8">
        <v>290742</v>
      </c>
      <c r="J8">
        <v>660312</v>
      </c>
      <c r="K8">
        <v>125902</v>
      </c>
      <c r="L8">
        <v>369031</v>
      </c>
      <c r="M8">
        <v>824331</v>
      </c>
      <c r="N8">
        <v>625581</v>
      </c>
      <c r="O8">
        <v>494931</v>
      </c>
      <c r="P8">
        <v>584563</v>
      </c>
      <c r="Q8">
        <v>504483</v>
      </c>
      <c r="R8">
        <v>64342</v>
      </c>
      <c r="S8">
        <v>329378</v>
      </c>
      <c r="T8">
        <v>144639</v>
      </c>
      <c r="U8">
        <v>548052</v>
      </c>
      <c r="V8">
        <v>107022</v>
      </c>
    </row>
    <row r="9" spans="1:22" x14ac:dyDescent="0.25">
      <c r="A9" t="s">
        <v>8</v>
      </c>
      <c r="B9">
        <v>270206</v>
      </c>
      <c r="C9">
        <v>926481</v>
      </c>
      <c r="D9">
        <v>447906</v>
      </c>
      <c r="E9">
        <v>507760</v>
      </c>
      <c r="F9">
        <v>94330</v>
      </c>
      <c r="G9">
        <v>154580</v>
      </c>
      <c r="H9">
        <v>790546</v>
      </c>
      <c r="I9">
        <v>291022</v>
      </c>
      <c r="J9">
        <v>664595</v>
      </c>
      <c r="K9">
        <v>125569</v>
      </c>
      <c r="L9">
        <v>368266</v>
      </c>
      <c r="M9">
        <v>825471</v>
      </c>
      <c r="N9">
        <v>624180</v>
      </c>
      <c r="O9">
        <v>494370</v>
      </c>
      <c r="P9">
        <v>587238</v>
      </c>
      <c r="Q9">
        <v>504556</v>
      </c>
      <c r="R9">
        <v>63754</v>
      </c>
      <c r="S9">
        <v>329682</v>
      </c>
      <c r="T9">
        <v>143059</v>
      </c>
      <c r="U9">
        <v>549954</v>
      </c>
      <c r="V9">
        <v>106787</v>
      </c>
    </row>
    <row r="10" spans="1:22" x14ac:dyDescent="0.25">
      <c r="A10" t="s">
        <v>7</v>
      </c>
      <c r="B10">
        <v>267212</v>
      </c>
      <c r="C10">
        <v>928381</v>
      </c>
      <c r="D10">
        <v>447092</v>
      </c>
      <c r="E10">
        <v>507119</v>
      </c>
      <c r="F10">
        <v>93825</v>
      </c>
      <c r="G10">
        <v>153003</v>
      </c>
      <c r="H10">
        <v>793073</v>
      </c>
      <c r="I10">
        <v>290795</v>
      </c>
      <c r="J10">
        <v>668673</v>
      </c>
      <c r="K10">
        <v>124976</v>
      </c>
      <c r="L10">
        <v>367929</v>
      </c>
      <c r="M10">
        <v>825298</v>
      </c>
      <c r="N10">
        <v>623055</v>
      </c>
      <c r="O10">
        <v>493831</v>
      </c>
      <c r="P10">
        <v>591142</v>
      </c>
      <c r="Q10">
        <v>504001</v>
      </c>
      <c r="R10">
        <v>63256</v>
      </c>
      <c r="S10">
        <v>330003</v>
      </c>
      <c r="T10">
        <v>142004</v>
      </c>
      <c r="U10">
        <v>552814</v>
      </c>
      <c r="V10">
        <v>106102</v>
      </c>
    </row>
    <row r="11" spans="1:22" x14ac:dyDescent="0.25">
      <c r="A11" t="s">
        <v>6</v>
      </c>
      <c r="B11">
        <v>265446</v>
      </c>
      <c r="C11">
        <v>932449</v>
      </c>
      <c r="D11">
        <v>446229</v>
      </c>
      <c r="E11">
        <v>506488</v>
      </c>
      <c r="F11">
        <v>93283</v>
      </c>
      <c r="G11">
        <v>151147</v>
      </c>
      <c r="H11">
        <v>797222</v>
      </c>
      <c r="I11">
        <v>291088</v>
      </c>
      <c r="J11">
        <v>672858</v>
      </c>
      <c r="K11">
        <v>125076</v>
      </c>
      <c r="L11">
        <v>368489</v>
      </c>
      <c r="M11">
        <v>826972</v>
      </c>
      <c r="N11">
        <v>622122</v>
      </c>
      <c r="O11">
        <v>493994</v>
      </c>
      <c r="P11">
        <v>595564</v>
      </c>
      <c r="Q11">
        <v>504403</v>
      </c>
      <c r="R11">
        <v>62944</v>
      </c>
      <c r="S11">
        <v>330650</v>
      </c>
      <c r="T11">
        <v>141267</v>
      </c>
      <c r="U11">
        <v>554695</v>
      </c>
      <c r="V11">
        <v>105761</v>
      </c>
    </row>
    <row r="12" spans="1:22" x14ac:dyDescent="0.25">
      <c r="A12" t="s">
        <v>5</v>
      </c>
      <c r="B12">
        <v>263994</v>
      </c>
      <c r="C12">
        <v>932897</v>
      </c>
      <c r="D12">
        <v>445429</v>
      </c>
      <c r="E12">
        <v>506685</v>
      </c>
      <c r="F12">
        <v>92604</v>
      </c>
      <c r="G12">
        <v>150274</v>
      </c>
      <c r="H12">
        <v>800530</v>
      </c>
      <c r="I12">
        <v>291754</v>
      </c>
      <c r="J12">
        <v>672390</v>
      </c>
      <c r="K12">
        <v>125265</v>
      </c>
      <c r="L12">
        <v>368720</v>
      </c>
      <c r="M12">
        <v>825677</v>
      </c>
      <c r="N12">
        <v>620859</v>
      </c>
      <c r="O12">
        <v>493084</v>
      </c>
      <c r="P12">
        <v>601649</v>
      </c>
      <c r="Q12">
        <v>503192</v>
      </c>
      <c r="R12">
        <v>62776</v>
      </c>
      <c r="S12">
        <v>330772</v>
      </c>
      <c r="T12">
        <v>140995</v>
      </c>
      <c r="U12">
        <v>556475</v>
      </c>
      <c r="V12">
        <v>105709</v>
      </c>
    </row>
    <row r="13" spans="1:22" x14ac:dyDescent="0.25">
      <c r="A13" t="s">
        <v>4</v>
      </c>
      <c r="B13">
        <v>263653</v>
      </c>
      <c r="C13">
        <v>932256</v>
      </c>
      <c r="D13">
        <v>446160</v>
      </c>
      <c r="E13">
        <v>506503</v>
      </c>
      <c r="F13">
        <v>92247</v>
      </c>
      <c r="G13">
        <v>148995</v>
      </c>
      <c r="H13">
        <v>802162</v>
      </c>
      <c r="I13">
        <v>291842</v>
      </c>
      <c r="J13">
        <v>674030</v>
      </c>
      <c r="K13">
        <v>125201</v>
      </c>
      <c r="L13">
        <v>368047</v>
      </c>
      <c r="M13">
        <v>824394</v>
      </c>
      <c r="N13">
        <v>619687</v>
      </c>
      <c r="O13">
        <v>491577</v>
      </c>
      <c r="P13">
        <v>607498</v>
      </c>
      <c r="Q13">
        <v>501838</v>
      </c>
      <c r="R13">
        <v>62341</v>
      </c>
      <c r="S13">
        <v>329998</v>
      </c>
      <c r="T13">
        <v>140710</v>
      </c>
      <c r="U13">
        <v>556664</v>
      </c>
      <c r="V13">
        <v>105455</v>
      </c>
    </row>
    <row r="14" spans="1:22" x14ac:dyDescent="0.25">
      <c r="A14" t="s">
        <v>3</v>
      </c>
      <c r="B14">
        <v>274190</v>
      </c>
      <c r="C14">
        <v>953690</v>
      </c>
      <c r="D14">
        <v>461682</v>
      </c>
      <c r="E14">
        <v>523122</v>
      </c>
      <c r="F14">
        <v>95044</v>
      </c>
      <c r="G14">
        <v>153719</v>
      </c>
      <c r="H14">
        <v>859974</v>
      </c>
      <c r="I14">
        <v>302563</v>
      </c>
      <c r="J14">
        <v>721879</v>
      </c>
      <c r="K14">
        <v>128786</v>
      </c>
      <c r="L14">
        <v>386466</v>
      </c>
      <c r="M14">
        <v>861408</v>
      </c>
      <c r="N14">
        <v>642836</v>
      </c>
      <c r="O14">
        <v>508439</v>
      </c>
      <c r="P14">
        <v>638465</v>
      </c>
      <c r="Q14">
        <v>523439</v>
      </c>
      <c r="R14">
        <v>64841</v>
      </c>
      <c r="S14">
        <v>344754</v>
      </c>
      <c r="T14">
        <v>143915</v>
      </c>
      <c r="U14">
        <v>573660</v>
      </c>
      <c r="V14">
        <v>109520</v>
      </c>
    </row>
    <row r="15" spans="1:22" x14ac:dyDescent="0.25">
      <c r="A15" t="s">
        <v>2</v>
      </c>
      <c r="B15">
        <v>274956</v>
      </c>
      <c r="C15">
        <v>955383</v>
      </c>
      <c r="D15">
        <v>464479</v>
      </c>
      <c r="E15">
        <v>524093</v>
      </c>
      <c r="F15">
        <v>95706</v>
      </c>
      <c r="G15">
        <v>152083</v>
      </c>
      <c r="H15">
        <v>854233</v>
      </c>
      <c r="I15">
        <v>304592</v>
      </c>
      <c r="J15">
        <v>703448</v>
      </c>
      <c r="K15">
        <v>129671</v>
      </c>
      <c r="L15">
        <v>382172</v>
      </c>
      <c r="M15">
        <v>862364</v>
      </c>
      <c r="N15">
        <v>646517</v>
      </c>
      <c r="O15">
        <v>510613</v>
      </c>
      <c r="P15">
        <v>649825</v>
      </c>
      <c r="Q15">
        <v>518376</v>
      </c>
      <c r="R15">
        <v>65045</v>
      </c>
      <c r="S15">
        <v>346498</v>
      </c>
      <c r="T15">
        <v>145721</v>
      </c>
      <c r="U15">
        <v>572833</v>
      </c>
      <c r="V15">
        <v>110567</v>
      </c>
    </row>
    <row r="16" spans="1:22" x14ac:dyDescent="0.25">
      <c r="A16" t="s">
        <v>16</v>
      </c>
      <c r="B16">
        <v>275382</v>
      </c>
      <c r="C16">
        <v>953540</v>
      </c>
      <c r="D16">
        <v>466101</v>
      </c>
      <c r="E16">
        <v>524649</v>
      </c>
      <c r="F16">
        <v>95405</v>
      </c>
      <c r="G16">
        <v>151347</v>
      </c>
      <c r="H16">
        <v>849724</v>
      </c>
      <c r="I16">
        <v>306767</v>
      </c>
      <c r="J16">
        <v>702381</v>
      </c>
      <c r="K16">
        <v>129805</v>
      </c>
      <c r="L16">
        <v>380779</v>
      </c>
      <c r="M16">
        <v>861094</v>
      </c>
      <c r="N16">
        <v>644228</v>
      </c>
      <c r="O16">
        <v>511219</v>
      </c>
      <c r="P16">
        <v>655663</v>
      </c>
      <c r="Q16">
        <v>513634</v>
      </c>
      <c r="R16">
        <v>65157</v>
      </c>
      <c r="S16">
        <v>347047</v>
      </c>
      <c r="T16">
        <v>145575</v>
      </c>
      <c r="U16">
        <v>570417</v>
      </c>
      <c r="V16">
        <v>110903</v>
      </c>
    </row>
    <row r="17" spans="1:22" x14ac:dyDescent="0.25">
      <c r="A17" t="s">
        <v>17</v>
      </c>
      <c r="B17">
        <v>275213</v>
      </c>
      <c r="C17">
        <v>957736</v>
      </c>
      <c r="D17">
        <v>469167</v>
      </c>
      <c r="E17">
        <v>527196</v>
      </c>
      <c r="F17">
        <v>94610</v>
      </c>
      <c r="G17">
        <v>152326</v>
      </c>
      <c r="H17">
        <v>851117</v>
      </c>
      <c r="I17">
        <v>308423</v>
      </c>
      <c r="J17">
        <v>705472</v>
      </c>
      <c r="K17">
        <v>130183</v>
      </c>
      <c r="L17">
        <v>381671</v>
      </c>
      <c r="M17">
        <v>863623</v>
      </c>
      <c r="N17">
        <v>642799</v>
      </c>
      <c r="O17">
        <v>514423</v>
      </c>
      <c r="P17">
        <v>659197</v>
      </c>
      <c r="Q17">
        <v>513395</v>
      </c>
      <c r="R17">
        <v>65338</v>
      </c>
      <c r="S17">
        <v>348842</v>
      </c>
      <c r="T17">
        <v>146132</v>
      </c>
      <c r="U17">
        <v>572726</v>
      </c>
      <c r="V17">
        <v>111252</v>
      </c>
    </row>
    <row r="20" spans="1:22" x14ac:dyDescent="0.25">
      <c r="A20" t="s">
        <v>82</v>
      </c>
    </row>
    <row r="22" spans="1:22" x14ac:dyDescent="0.25">
      <c r="A22" t="s">
        <v>91</v>
      </c>
    </row>
    <row r="23" spans="1:22" x14ac:dyDescent="0.25">
      <c r="A23" t="s">
        <v>85</v>
      </c>
    </row>
    <row r="24" spans="1:22" x14ac:dyDescent="0.25">
      <c r="A24" t="s">
        <v>86</v>
      </c>
    </row>
    <row r="25" spans="1:22" x14ac:dyDescent="0.25">
      <c r="A25" t="s">
        <v>87</v>
      </c>
    </row>
    <row r="26" spans="1:22" x14ac:dyDescent="0.25">
      <c r="A26" t="s">
        <v>92</v>
      </c>
    </row>
    <row r="27" spans="1:22" x14ac:dyDescent="0.25">
      <c r="A27" t="s">
        <v>89</v>
      </c>
    </row>
    <row r="28" spans="1:22" x14ac:dyDescent="0.25">
      <c r="A28" t="s">
        <v>90</v>
      </c>
    </row>
    <row r="30" spans="1:22" x14ac:dyDescent="0.25">
      <c r="A30" t="str">
        <f xml:space="preserve"> "INSERT INTO Pop VALUES (" &amp; A2 &amp; ", '" &amp; B2 &amp; "', '" &amp; C2 &amp; "', " &amp; IF(ISBLANK(D2), "NULL", D2) &amp; ")" &amp; IF(A3="", ";", ",")</f>
        <v>INSERT INTO Pop VALUES (2008, '270609', '889915', 445492),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opLeftCell="A3" workbookViewId="0">
      <selection activeCell="A27" sqref="A27"/>
    </sheetView>
  </sheetViews>
  <sheetFormatPr baseColWidth="10" defaultColWidth="8.7109375" defaultRowHeight="19" x14ac:dyDescent="0.25"/>
  <sheetData>
    <row r="1" spans="1:22" x14ac:dyDescent="0.25">
      <c r="A1" t="s">
        <v>1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</row>
    <row r="2" spans="1:22" x14ac:dyDescent="0.25">
      <c r="A2" t="s">
        <v>11</v>
      </c>
      <c r="B2">
        <v>10</v>
      </c>
      <c r="C2">
        <v>30</v>
      </c>
      <c r="D2">
        <v>14</v>
      </c>
      <c r="E2">
        <v>23</v>
      </c>
      <c r="G2">
        <v>6</v>
      </c>
      <c r="H2">
        <v>39</v>
      </c>
      <c r="I2">
        <v>9</v>
      </c>
      <c r="J2">
        <v>21</v>
      </c>
      <c r="L2">
        <v>10</v>
      </c>
      <c r="M2">
        <v>22</v>
      </c>
      <c r="N2">
        <v>15</v>
      </c>
      <c r="O2">
        <v>14</v>
      </c>
      <c r="P2">
        <v>9</v>
      </c>
      <c r="Q2">
        <v>19</v>
      </c>
      <c r="S2">
        <v>8</v>
      </c>
      <c r="U2">
        <v>20</v>
      </c>
    </row>
    <row r="3" spans="1:22" x14ac:dyDescent="0.25">
      <c r="A3" t="s">
        <v>10</v>
      </c>
      <c r="B3">
        <v>10</v>
      </c>
      <c r="C3">
        <v>26</v>
      </c>
      <c r="D3">
        <v>20</v>
      </c>
      <c r="E3">
        <v>30</v>
      </c>
      <c r="G3">
        <v>6</v>
      </c>
      <c r="H3">
        <v>47</v>
      </c>
      <c r="I3">
        <v>13</v>
      </c>
      <c r="J3">
        <v>39</v>
      </c>
      <c r="L3">
        <v>9</v>
      </c>
      <c r="M3">
        <v>20</v>
      </c>
      <c r="N3">
        <v>21</v>
      </c>
      <c r="O3">
        <v>17</v>
      </c>
      <c r="P3">
        <v>12</v>
      </c>
      <c r="Q3">
        <v>21</v>
      </c>
      <c r="S3">
        <v>6</v>
      </c>
      <c r="T3">
        <v>7</v>
      </c>
      <c r="U3">
        <v>16</v>
      </c>
    </row>
    <row r="4" spans="1:22" x14ac:dyDescent="0.25">
      <c r="A4" t="s">
        <v>9</v>
      </c>
      <c r="B4">
        <v>12</v>
      </c>
      <c r="C4">
        <v>49</v>
      </c>
      <c r="D4">
        <v>25</v>
      </c>
      <c r="E4">
        <v>43</v>
      </c>
      <c r="G4">
        <v>6</v>
      </c>
      <c r="H4">
        <v>63</v>
      </c>
      <c r="I4">
        <v>16</v>
      </c>
      <c r="J4">
        <v>80</v>
      </c>
      <c r="L4">
        <v>14</v>
      </c>
      <c r="M4">
        <v>29</v>
      </c>
      <c r="N4">
        <v>31</v>
      </c>
      <c r="O4">
        <v>23</v>
      </c>
      <c r="P4">
        <v>19</v>
      </c>
      <c r="Q4">
        <v>26</v>
      </c>
      <c r="S4">
        <v>12</v>
      </c>
      <c r="U4">
        <v>34</v>
      </c>
    </row>
    <row r="5" spans="1:22" x14ac:dyDescent="0.25">
      <c r="A5" t="s">
        <v>8</v>
      </c>
      <c r="B5">
        <v>38</v>
      </c>
      <c r="C5">
        <v>111</v>
      </c>
      <c r="D5">
        <v>61</v>
      </c>
      <c r="E5">
        <v>88</v>
      </c>
      <c r="F5">
        <v>10</v>
      </c>
      <c r="G5">
        <v>12</v>
      </c>
      <c r="H5">
        <v>137</v>
      </c>
      <c r="I5">
        <v>38</v>
      </c>
      <c r="J5">
        <v>214</v>
      </c>
      <c r="K5">
        <v>11</v>
      </c>
      <c r="L5">
        <v>42</v>
      </c>
      <c r="M5">
        <v>76</v>
      </c>
      <c r="N5">
        <v>67</v>
      </c>
      <c r="O5">
        <v>58</v>
      </c>
      <c r="P5">
        <v>43</v>
      </c>
      <c r="Q5">
        <v>66</v>
      </c>
      <c r="R5">
        <v>8</v>
      </c>
      <c r="S5">
        <v>34</v>
      </c>
      <c r="T5">
        <v>11</v>
      </c>
      <c r="U5">
        <v>79</v>
      </c>
      <c r="V5">
        <v>7</v>
      </c>
    </row>
    <row r="6" spans="1:22" x14ac:dyDescent="0.25">
      <c r="A6" t="s">
        <v>7</v>
      </c>
      <c r="B6">
        <v>59</v>
      </c>
      <c r="C6">
        <v>207</v>
      </c>
      <c r="D6">
        <v>97</v>
      </c>
      <c r="E6">
        <v>131</v>
      </c>
      <c r="F6">
        <v>16</v>
      </c>
      <c r="G6">
        <v>18</v>
      </c>
      <c r="H6">
        <v>273</v>
      </c>
      <c r="I6">
        <v>59</v>
      </c>
      <c r="J6">
        <v>395</v>
      </c>
      <c r="K6">
        <v>22</v>
      </c>
      <c r="L6">
        <v>76</v>
      </c>
      <c r="M6">
        <v>160</v>
      </c>
      <c r="N6">
        <v>152</v>
      </c>
      <c r="O6">
        <v>108</v>
      </c>
      <c r="P6">
        <v>89</v>
      </c>
      <c r="Q6">
        <v>107</v>
      </c>
      <c r="R6">
        <v>12</v>
      </c>
      <c r="S6">
        <v>69</v>
      </c>
      <c r="T6">
        <v>19</v>
      </c>
      <c r="U6">
        <v>159</v>
      </c>
      <c r="V6">
        <v>14</v>
      </c>
    </row>
    <row r="7" spans="1:22" x14ac:dyDescent="0.25">
      <c r="A7" t="s">
        <v>6</v>
      </c>
      <c r="B7">
        <v>63</v>
      </c>
      <c r="C7">
        <v>323</v>
      </c>
      <c r="D7">
        <v>148</v>
      </c>
      <c r="E7">
        <v>192</v>
      </c>
      <c r="F7">
        <v>18</v>
      </c>
      <c r="G7">
        <v>41</v>
      </c>
      <c r="H7">
        <v>385</v>
      </c>
      <c r="I7">
        <v>90</v>
      </c>
      <c r="J7">
        <v>561</v>
      </c>
      <c r="K7">
        <v>36</v>
      </c>
      <c r="L7">
        <v>143</v>
      </c>
      <c r="M7">
        <v>250</v>
      </c>
      <c r="N7">
        <v>260</v>
      </c>
      <c r="O7">
        <v>159</v>
      </c>
      <c r="P7">
        <v>142</v>
      </c>
      <c r="Q7">
        <v>175</v>
      </c>
      <c r="R7">
        <v>20</v>
      </c>
      <c r="S7">
        <v>105</v>
      </c>
      <c r="T7">
        <v>33</v>
      </c>
      <c r="U7">
        <v>231</v>
      </c>
      <c r="V7">
        <v>24</v>
      </c>
    </row>
    <row r="8" spans="1:22" x14ac:dyDescent="0.25">
      <c r="A8" t="s">
        <v>5</v>
      </c>
      <c r="B8">
        <v>83</v>
      </c>
      <c r="C8">
        <v>458</v>
      </c>
      <c r="D8">
        <v>199</v>
      </c>
      <c r="E8">
        <v>253</v>
      </c>
      <c r="F8">
        <v>23</v>
      </c>
      <c r="G8">
        <v>47</v>
      </c>
      <c r="H8">
        <v>572</v>
      </c>
      <c r="I8">
        <v>121</v>
      </c>
      <c r="J8">
        <v>759</v>
      </c>
      <c r="K8">
        <v>51</v>
      </c>
      <c r="L8">
        <v>187</v>
      </c>
      <c r="M8">
        <v>362</v>
      </c>
      <c r="N8">
        <v>318</v>
      </c>
      <c r="O8">
        <v>221</v>
      </c>
      <c r="P8">
        <v>161</v>
      </c>
      <c r="Q8">
        <v>245</v>
      </c>
      <c r="R8">
        <v>26</v>
      </c>
      <c r="S8">
        <v>146</v>
      </c>
      <c r="T8">
        <v>49</v>
      </c>
      <c r="U8">
        <v>342</v>
      </c>
      <c r="V8">
        <v>35</v>
      </c>
    </row>
    <row r="9" spans="1:22" x14ac:dyDescent="0.25">
      <c r="A9" t="s">
        <v>4</v>
      </c>
      <c r="B9">
        <v>124</v>
      </c>
      <c r="C9">
        <v>568</v>
      </c>
      <c r="D9">
        <v>236</v>
      </c>
      <c r="E9">
        <v>307</v>
      </c>
      <c r="F9">
        <v>37</v>
      </c>
      <c r="G9">
        <v>57</v>
      </c>
      <c r="H9">
        <v>687</v>
      </c>
      <c r="I9">
        <v>141</v>
      </c>
      <c r="J9">
        <v>966</v>
      </c>
      <c r="K9">
        <v>63</v>
      </c>
      <c r="L9">
        <v>252</v>
      </c>
      <c r="M9">
        <v>472</v>
      </c>
      <c r="N9">
        <v>383</v>
      </c>
      <c r="O9">
        <v>270</v>
      </c>
      <c r="P9">
        <v>210</v>
      </c>
      <c r="Q9">
        <v>299</v>
      </c>
      <c r="R9">
        <v>31</v>
      </c>
      <c r="S9">
        <v>182</v>
      </c>
      <c r="T9">
        <v>57</v>
      </c>
      <c r="U9">
        <v>434</v>
      </c>
      <c r="V9">
        <v>41</v>
      </c>
    </row>
    <row r="10" spans="1:22" x14ac:dyDescent="0.25">
      <c r="A10" t="s">
        <v>3</v>
      </c>
      <c r="B10">
        <v>141</v>
      </c>
      <c r="C10">
        <v>587</v>
      </c>
      <c r="D10">
        <v>244</v>
      </c>
      <c r="E10">
        <v>310</v>
      </c>
      <c r="F10">
        <v>40</v>
      </c>
      <c r="G10">
        <v>56</v>
      </c>
      <c r="H10">
        <v>692</v>
      </c>
      <c r="I10">
        <v>148</v>
      </c>
      <c r="J10">
        <v>999</v>
      </c>
      <c r="K10">
        <v>68</v>
      </c>
      <c r="L10">
        <v>233</v>
      </c>
      <c r="M10">
        <v>516</v>
      </c>
      <c r="N10">
        <v>401</v>
      </c>
      <c r="O10">
        <v>311</v>
      </c>
      <c r="P10">
        <v>201</v>
      </c>
      <c r="Q10">
        <v>309</v>
      </c>
      <c r="R10">
        <v>32</v>
      </c>
      <c r="S10">
        <v>197</v>
      </c>
      <c r="T10">
        <v>71</v>
      </c>
      <c r="U10">
        <v>434</v>
      </c>
      <c r="V10">
        <v>51</v>
      </c>
    </row>
    <row r="11" spans="1:22" x14ac:dyDescent="0.25">
      <c r="A11" t="s">
        <v>2</v>
      </c>
      <c r="B11">
        <v>185</v>
      </c>
      <c r="C11">
        <v>728</v>
      </c>
      <c r="D11">
        <v>301</v>
      </c>
      <c r="E11">
        <v>355</v>
      </c>
      <c r="F11">
        <v>61</v>
      </c>
      <c r="G11">
        <v>62</v>
      </c>
      <c r="H11">
        <v>829</v>
      </c>
      <c r="I11">
        <v>182</v>
      </c>
      <c r="J11">
        <v>1253</v>
      </c>
      <c r="K11">
        <v>84</v>
      </c>
      <c r="L11">
        <v>308</v>
      </c>
      <c r="M11">
        <v>633</v>
      </c>
      <c r="N11">
        <v>481</v>
      </c>
      <c r="O11">
        <v>380</v>
      </c>
      <c r="P11">
        <v>250</v>
      </c>
      <c r="Q11">
        <v>397</v>
      </c>
      <c r="R11">
        <v>39</v>
      </c>
      <c r="S11">
        <v>238</v>
      </c>
      <c r="T11">
        <v>93</v>
      </c>
      <c r="U11">
        <v>523</v>
      </c>
      <c r="V11">
        <v>67</v>
      </c>
    </row>
    <row r="12" spans="1:22" x14ac:dyDescent="0.25">
      <c r="A12" t="s">
        <v>16</v>
      </c>
      <c r="B12">
        <v>215</v>
      </c>
      <c r="C12">
        <v>914</v>
      </c>
      <c r="D12">
        <v>381</v>
      </c>
      <c r="E12">
        <v>478</v>
      </c>
      <c r="F12">
        <v>70</v>
      </c>
      <c r="G12">
        <v>81</v>
      </c>
      <c r="H12">
        <v>1012</v>
      </c>
      <c r="I12">
        <v>230</v>
      </c>
      <c r="J12">
        <v>1502</v>
      </c>
      <c r="K12">
        <v>106</v>
      </c>
      <c r="L12">
        <v>371</v>
      </c>
      <c r="M12">
        <v>794</v>
      </c>
      <c r="N12">
        <v>575</v>
      </c>
      <c r="O12">
        <v>463</v>
      </c>
      <c r="P12">
        <v>344</v>
      </c>
      <c r="Q12">
        <v>480</v>
      </c>
      <c r="R12">
        <v>50</v>
      </c>
      <c r="S12">
        <v>297</v>
      </c>
      <c r="T12">
        <v>111</v>
      </c>
      <c r="U12">
        <v>646</v>
      </c>
      <c r="V12">
        <v>82</v>
      </c>
    </row>
    <row r="13" spans="1:22" x14ac:dyDescent="0.25">
      <c r="A13" t="s">
        <v>17</v>
      </c>
      <c r="B13">
        <v>243</v>
      </c>
      <c r="C13">
        <v>1057</v>
      </c>
      <c r="D13">
        <v>454</v>
      </c>
      <c r="E13">
        <v>608</v>
      </c>
      <c r="F13">
        <v>74</v>
      </c>
      <c r="G13">
        <v>108</v>
      </c>
      <c r="H13">
        <v>1239</v>
      </c>
      <c r="I13">
        <v>278</v>
      </c>
      <c r="J13">
        <v>1846</v>
      </c>
      <c r="K13">
        <v>128</v>
      </c>
      <c r="L13">
        <v>432</v>
      </c>
      <c r="M13">
        <v>953</v>
      </c>
      <c r="N13">
        <v>699</v>
      </c>
      <c r="O13">
        <v>540</v>
      </c>
      <c r="P13">
        <v>447</v>
      </c>
      <c r="Q13">
        <v>575</v>
      </c>
      <c r="R13">
        <v>61</v>
      </c>
      <c r="S13">
        <v>356</v>
      </c>
      <c r="T13">
        <v>127</v>
      </c>
      <c r="U13">
        <v>793</v>
      </c>
      <c r="V13">
        <v>98</v>
      </c>
    </row>
    <row r="16" spans="1:22" x14ac:dyDescent="0.25">
      <c r="A16" t="s">
        <v>83</v>
      </c>
    </row>
    <row r="18" spans="1:1" x14ac:dyDescent="0.25">
      <c r="A18" t="s">
        <v>93</v>
      </c>
    </row>
    <row r="19" spans="1:1" x14ac:dyDescent="0.25">
      <c r="A19" t="s">
        <v>85</v>
      </c>
    </row>
    <row r="20" spans="1:1" x14ac:dyDescent="0.25">
      <c r="A20" t="s">
        <v>86</v>
      </c>
    </row>
    <row r="21" spans="1:1" x14ac:dyDescent="0.25">
      <c r="A21" t="s">
        <v>87</v>
      </c>
    </row>
    <row r="22" spans="1:1" x14ac:dyDescent="0.25">
      <c r="A22" t="s">
        <v>94</v>
      </c>
    </row>
    <row r="23" spans="1:1" x14ac:dyDescent="0.25">
      <c r="A23" t="s">
        <v>89</v>
      </c>
    </row>
    <row r="24" spans="1:1" x14ac:dyDescent="0.25">
      <c r="A24" t="s">
        <v>90</v>
      </c>
    </row>
    <row r="26" spans="1:1" x14ac:dyDescent="0.25">
      <c r="A26" t="str">
        <f xml:space="preserve"> "INSERT INTO PrEP VALUES (" &amp; A2 &amp; ", '" &amp; B2 &amp; "', '" &amp; C2 &amp; "', " &amp; IF(ISBLANK(D2), "NULL", D2) &amp; ")" &amp; IF(A3="", ";", ",")</f>
        <v>INSERT INTO PrEP VALUES (2012, '10', '30', 14),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HIV</vt:lpstr>
      <vt:lpstr>Pop</vt:lpstr>
      <vt:lpstr>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Nooshrat Jahan</cp:lastModifiedBy>
  <dcterms:created xsi:type="dcterms:W3CDTF">2025-04-10T12:13:28Z</dcterms:created>
  <dcterms:modified xsi:type="dcterms:W3CDTF">2025-04-10T16:24:18Z</dcterms:modified>
</cp:coreProperties>
</file>